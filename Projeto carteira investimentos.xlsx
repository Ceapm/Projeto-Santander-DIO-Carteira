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apm\Downloads\"/>
    </mc:Choice>
  </mc:AlternateContent>
  <xr:revisionPtr revIDLastSave="0" documentId="8_{2667D1AF-2CEB-4B58-BFCE-BD182DFC0630}" xr6:coauthVersionLast="47" xr6:coauthVersionMax="47" xr10:uidLastSave="{00000000-0000-0000-0000-000000000000}"/>
  <bookViews>
    <workbookView xWindow="-120" yWindow="-120" windowWidth="21840" windowHeight="13020" xr2:uid="{3BE3DC7F-34B6-487D-ADD4-159AB1AC31C0}"/>
  </bookViews>
  <sheets>
    <sheet name="Planilha1" sheetId="1" r:id="rId1"/>
    <sheet name="Planilha2" sheetId="3" r:id="rId2"/>
  </sheets>
  <definedNames>
    <definedName name="aporte">Planilha1!$C$18</definedName>
    <definedName name="qtd_anos">Planilha1!$C$19</definedName>
    <definedName name="rendimento_carteira">Planilha1!$C$14</definedName>
    <definedName name="taxa_rendimento_mensal">Planilha1!$C$20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8" i="1" l="1"/>
  <c r="C38" i="1" s="1"/>
  <c r="B39" i="1"/>
  <c r="C39" i="1" s="1"/>
  <c r="B40" i="1"/>
  <c r="C40" i="1" s="1"/>
  <c r="B41" i="1"/>
  <c r="C41" i="1" s="1"/>
  <c r="B42" i="1"/>
  <c r="C42" i="1" s="1"/>
  <c r="B37" i="1"/>
  <c r="C37" i="1" s="1"/>
  <c r="A15" i="3"/>
  <c r="A16" i="3"/>
  <c r="A17" i="3"/>
  <c r="A18" i="3"/>
  <c r="A19" i="3"/>
  <c r="A20" i="3"/>
  <c r="A10" i="3"/>
  <c r="A11" i="3"/>
  <c r="A12" i="3"/>
  <c r="A13" i="3"/>
  <c r="A14" i="3"/>
  <c r="A9" i="3"/>
  <c r="A4" i="3"/>
  <c r="A5" i="3"/>
  <c r="A6" i="3"/>
  <c r="A7" i="3"/>
  <c r="A8" i="3"/>
  <c r="A3" i="3"/>
  <c r="B34" i="1"/>
  <c r="C15" i="1"/>
  <c r="C21" i="1"/>
  <c r="C22" i="1" s="1"/>
  <c r="B25" i="1"/>
  <c r="C25" i="1" s="1"/>
  <c r="B26" i="1"/>
  <c r="C26" i="1" s="1"/>
  <c r="B27" i="1"/>
  <c r="C27" i="1" s="1"/>
  <c r="B28" i="1"/>
  <c r="C28" i="1" s="1"/>
  <c r="B29" i="1"/>
  <c r="C29" i="1" s="1"/>
  <c r="C43" i="1" l="1"/>
</calcChain>
</file>

<file path=xl/sharedStrings.xml><?xml version="1.0" encoding="utf-8"?>
<sst xmlns="http://schemas.openxmlformats.org/spreadsheetml/2006/main" count="70" uniqueCount="34">
  <si>
    <t>Investimento Mensal</t>
  </si>
  <si>
    <t>Quanto investir ao mês?</t>
  </si>
  <si>
    <t>Por quanto tempo?</t>
  </si>
  <si>
    <t>Taxa de rendimento mensal</t>
  </si>
  <si>
    <t>Patrimônio acumulado?</t>
  </si>
  <si>
    <t>Dividendos Mensais?</t>
  </si>
  <si>
    <t xml:space="preserve"> Cenários Futuros</t>
  </si>
  <si>
    <t>Quanto em 2 anos?</t>
  </si>
  <si>
    <t>Quanto em 5 anos?</t>
  </si>
  <si>
    <t>Quanto em 10 anos?</t>
  </si>
  <si>
    <t>Quanto em 20 anos?</t>
  </si>
  <si>
    <t>Dividendos</t>
  </si>
  <si>
    <t>Quanto em 30 anos?</t>
  </si>
  <si>
    <t>Configurações</t>
  </si>
  <si>
    <t xml:space="preserve">Salarío </t>
  </si>
  <si>
    <t>Rendimento Carteira</t>
  </si>
  <si>
    <t>Sugestão de investimento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</si>
  <si>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</si>
  <si>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</si>
  <si>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</si>
  <si>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</si>
  <si>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</si>
  <si>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</si>
  <si>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</si>
  <si>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</si>
  <si>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HIBRÍDOS</t>
  </si>
  <si>
    <t>FOFs</t>
  </si>
  <si>
    <t>DESENVOLVIMENTO</t>
  </si>
  <si>
    <t>HOTELARIAS</t>
  </si>
  <si>
    <t>Chave</t>
  </si>
  <si>
    <t>Moderado</t>
  </si>
  <si>
    <t>Agressivo</t>
  </si>
  <si>
    <t>Porcentagem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</si>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</sst>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164" fontId="2" fillId="3" borderId="0" xfId="0" applyNumberFormat="1" applyFont="1" applyFill="1" applyBorder="1" applyAlignment="1">
      <alignment horizontal="left"/>
    </xf>
    <xf numFmtId="164" fontId="0" fillId="3" borderId="5" xfId="1" applyNumberFormat="1" applyFont="1" applyFill="1" applyBorder="1"/>
    <xf numFmtId="10" fontId="0" fillId="3" borderId="5" xfId="2" applyNumberFormat="1" applyFont="1" applyFill="1" applyBorder="1"/>
    <xf numFmtId="164" fontId="0" fillId="3" borderId="8" xfId="0" applyNumberFormat="1" applyFill="1" applyBorder="1"/>
    <xf numFmtId="0" fontId="5" fillId="2" borderId="3" xfId="0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2" fillId="0" borderId="5" xfId="2" applyNumberFormat="1" applyFont="1" applyBorder="1" applyAlignment="1">
      <alignment horizontal="center"/>
    </xf>
    <xf numFmtId="8" fontId="2" fillId="0" borderId="5" xfId="0" applyNumberFormat="1" applyFont="1" applyBorder="1" applyAlignment="1">
      <alignment horizontal="center"/>
    </xf>
    <xf numFmtId="8" fontId="2" fillId="0" borderId="8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164" fontId="2" fillId="3" borderId="5" xfId="0" applyNumberFormat="1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164" fontId="2" fillId="3" borderId="7" xfId="0" applyNumberFormat="1" applyFont="1" applyFill="1" applyBorder="1" applyAlignment="1">
      <alignment horizontal="left"/>
    </xf>
    <xf numFmtId="164" fontId="2" fillId="3" borderId="8" xfId="0" applyNumberFormat="1" applyFont="1" applyFill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0" fillId="5" borderId="0" xfId="0" applyFill="1"/>
    <xf numFmtId="0" fontId="4" fillId="5" borderId="0" xfId="0" applyFont="1" applyFill="1" applyAlignment="1">
      <alignment horizontal="center"/>
    </xf>
    <xf numFmtId="0" fontId="6" fillId="3" borderId="0" xfId="0" applyFont="1" applyFill="1"/>
    <xf numFmtId="164" fontId="6" fillId="3" borderId="0" xfId="0" applyNumberFormat="1" applyFont="1" applyFill="1" applyAlignment="1">
      <alignment horizontal="center"/>
    </xf>
    <xf numFmtId="0" fontId="6" fillId="3" borderId="0" xfId="0" applyFont="1" applyFill="1" applyAlignment="1"/>
    <xf numFmtId="0" fontId="4" fillId="0" borderId="0" xfId="0" applyFont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6" fillId="6" borderId="0" xfId="0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2</xdr:col>
      <xdr:colOff>370107</xdr:colOff>
      <xdr:row>10</xdr:row>
      <xdr:rowOff>20410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49801B-709C-4B99-B438-31041B43FAF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95" t="30637" r="8671" b="31373"/>
        <a:stretch/>
      </xdr:blipFill>
      <xdr:spPr>
        <a:xfrm>
          <a:off x="1" y="0"/>
          <a:ext cx="5498042" cy="1925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6EF8-6417-4103-AA45-A5AAFE3E12A0}">
  <dimension ref="A11:XFC43"/>
  <sheetViews>
    <sheetView showGridLines="0" tabSelected="1" topLeftCell="A33" zoomScale="175" zoomScaleNormal="175" workbookViewId="0">
      <selection activeCell="B43" sqref="B43"/>
    </sheetView>
  </sheetViews>
  <sheetFormatPr defaultColWidth="0" defaultRowHeight="15" x14ac:dyDescent="0.25"/>
  <cols>
    <col min="1" max="1" width="45.7109375" bestFit="1" customWidth="1"/>
    <col min="2" max="2" width="31.28515625" bestFit="1" customWidth="1"/>
    <col min="3" max="3" width="21.42578125" customWidth="1"/>
    <col min="4" max="4" width="14.28515625" customWidth="1"/>
    <col min="5" max="5" width="3.85546875" hidden="1"/>
    <col min="6" max="6" width="4.85546875" hidden="1"/>
    <col min="7" max="7" width="1.140625" hidden="1"/>
    <col min="8" max="16383" width="9.140625" hidden="1"/>
    <col min="16384" max="16384" width="2" hidden="1"/>
  </cols>
  <sheetData>
    <row r="11" spans="1:3" ht="15.75" thickBot="1" x14ac:dyDescent="0.3"/>
    <row r="12" spans="1:3" ht="28.5" x14ac:dyDescent="0.45">
      <c r="A12" s="35" t="s">
        <v>13</v>
      </c>
      <c r="B12" s="36"/>
      <c r="C12" s="37"/>
    </row>
    <row r="13" spans="1:3" ht="15.75" customHeight="1" x14ac:dyDescent="0.25">
      <c r="A13" s="38" t="s">
        <v>14</v>
      </c>
      <c r="B13" s="39"/>
      <c r="C13" s="3">
        <v>3000</v>
      </c>
    </row>
    <row r="14" spans="1:3" ht="15.75" customHeight="1" x14ac:dyDescent="0.25">
      <c r="A14" s="38" t="s">
        <v>15</v>
      </c>
      <c r="B14" s="39"/>
      <c r="C14" s="4">
        <v>0.01</v>
      </c>
    </row>
    <row r="15" spans="1:3" ht="15.75" customHeight="1" thickBot="1" x14ac:dyDescent="0.3">
      <c r="A15" s="40" t="s">
        <v>16</v>
      </c>
      <c r="B15" s="41"/>
      <c r="C15" s="5">
        <f>C13*20%</f>
        <v>600</v>
      </c>
    </row>
    <row r="16" spans="1:3" ht="15.75" thickBot="1" x14ac:dyDescent="0.3"/>
    <row r="17" spans="1:4" ht="28.5" x14ac:dyDescent="0.45">
      <c r="A17" s="42" t="s">
        <v>0</v>
      </c>
      <c r="B17" s="43"/>
      <c r="C17" s="6"/>
    </row>
    <row r="18" spans="1:4" ht="15.75" x14ac:dyDescent="0.25">
      <c r="A18" s="44" t="s">
        <v>1</v>
      </c>
      <c r="B18" s="45"/>
      <c r="C18" s="7">
        <v>600</v>
      </c>
    </row>
    <row r="19" spans="1:4" ht="15.75" x14ac:dyDescent="0.25">
      <c r="A19" s="44" t="s">
        <v>2</v>
      </c>
      <c r="B19" s="45"/>
      <c r="C19" s="8">
        <v>7</v>
      </c>
    </row>
    <row r="20" spans="1:4" ht="15.75" x14ac:dyDescent="0.25">
      <c r="A20" s="44" t="s">
        <v>3</v>
      </c>
      <c r="B20" s="45"/>
      <c r="C20" s="9">
        <v>0.01</v>
      </c>
      <c r="D20" s="1">
        <v>2</v>
      </c>
    </row>
    <row r="21" spans="1:4" ht="15.75" x14ac:dyDescent="0.25">
      <c r="A21" s="46" t="s">
        <v>4</v>
      </c>
      <c r="B21" s="47"/>
      <c r="C21" s="10">
        <f>FV(taxa_rendimento_mensal,qtd_anos*12,aporte*-1)</f>
        <v>78403.364642422006</v>
      </c>
      <c r="D21" s="1">
        <v>5</v>
      </c>
    </row>
    <row r="22" spans="1:4" ht="16.5" thickBot="1" x14ac:dyDescent="0.3">
      <c r="A22" s="33" t="s">
        <v>5</v>
      </c>
      <c r="B22" s="34"/>
      <c r="C22" s="11">
        <f>C21*rendimento_carteira</f>
        <v>784.03364642422002</v>
      </c>
      <c r="D22" s="1">
        <v>10</v>
      </c>
    </row>
    <row r="23" spans="1:4" ht="15.75" thickBot="1" x14ac:dyDescent="0.3">
      <c r="D23" s="1">
        <v>20</v>
      </c>
    </row>
    <row r="24" spans="1:4" ht="28.5" x14ac:dyDescent="0.45">
      <c r="A24" s="12" t="s">
        <v>6</v>
      </c>
      <c r="B24" s="13"/>
      <c r="C24" s="14" t="s">
        <v>11</v>
      </c>
      <c r="D24" s="1">
        <v>30</v>
      </c>
    </row>
    <row r="25" spans="1:4" ht="15.75" x14ac:dyDescent="0.25">
      <c r="A25" s="15" t="s">
        <v>7</v>
      </c>
      <c r="B25" s="2">
        <f>FV(rendimento_carteira,$D20*12,aporte*-1)</f>
        <v>16184.078911914899</v>
      </c>
      <c r="C25" s="16">
        <f>B25*rendimento_carteira</f>
        <v>161.84078911914901</v>
      </c>
    </row>
    <row r="26" spans="1:4" ht="15.75" x14ac:dyDescent="0.25">
      <c r="A26" s="15" t="s">
        <v>8</v>
      </c>
      <c r="B26" s="2">
        <f>FV(rendimento_carteira,$D21*12,aporte*-1)</f>
        <v>49001.801913845477</v>
      </c>
      <c r="C26" s="16">
        <f>B26*rendimento_carteira</f>
        <v>490.01801913845475</v>
      </c>
    </row>
    <row r="27" spans="1:4" ht="15.75" x14ac:dyDescent="0.25">
      <c r="A27" s="15" t="s">
        <v>9</v>
      </c>
      <c r="B27" s="2">
        <f>FV(rendimento_carteira,$D22*12,aporte*-1)</f>
        <v>138023.2136744202</v>
      </c>
      <c r="C27" s="16">
        <f>B27*rendimento_carteira</f>
        <v>1380.2321367442021</v>
      </c>
    </row>
    <row r="28" spans="1:4" ht="15.75" x14ac:dyDescent="0.25">
      <c r="A28" s="15" t="s">
        <v>10</v>
      </c>
      <c r="B28" s="2">
        <f>FV(rendimento_carteira,$D23*12,aporte*-1)</f>
        <v>593553.21923241776</v>
      </c>
      <c r="C28" s="16">
        <f>B28*rendimento_carteira</f>
        <v>5935.5321923241781</v>
      </c>
    </row>
    <row r="29" spans="1:4" ht="16.5" thickBot="1" x14ac:dyDescent="0.3">
      <c r="A29" s="17" t="s">
        <v>12</v>
      </c>
      <c r="B29" s="18">
        <f>FV(rendimento_carteira,$D24*12,aporte*-1)</f>
        <v>2096978.4796611038</v>
      </c>
      <c r="C29" s="19">
        <f>B29*rendimento_carteira</f>
        <v>20969.784796611038</v>
      </c>
    </row>
    <row r="33" spans="1:3" ht="15.75" x14ac:dyDescent="0.25">
      <c r="A33" s="20" t="s">
        <v>17</v>
      </c>
      <c r="B33" s="22" t="s">
        <v>31</v>
      </c>
      <c r="C33" s="21"/>
    </row>
    <row r="34" spans="1:3" ht="15.75" x14ac:dyDescent="0.25">
      <c r="A34" s="25" t="s">
        <v>19</v>
      </c>
      <c r="B34" s="24">
        <f>aporte</f>
        <v>600</v>
      </c>
      <c r="C34" s="23"/>
    </row>
    <row r="36" spans="1:3" ht="15.75" x14ac:dyDescent="0.25">
      <c r="A36" s="30" t="s">
        <v>20</v>
      </c>
      <c r="B36" s="30" t="s">
        <v>21</v>
      </c>
      <c r="C36" s="30" t="s">
        <v>22</v>
      </c>
    </row>
    <row r="37" spans="1:3" ht="15.75" x14ac:dyDescent="0.25">
      <c r="A37" s="26" t="s">
        <v>23</v>
      </c>
      <c r="B37" s="28">
        <f>VLOOKUP($B$33&amp;"-"&amp;A37,Planilha2!A:D,4,FALSE)</f>
        <v>0.15</v>
      </c>
      <c r="C37" s="29">
        <f>$B$34*B37</f>
        <v>90</v>
      </c>
    </row>
    <row r="38" spans="1:3" ht="15.75" x14ac:dyDescent="0.25">
      <c r="A38" s="26" t="s">
        <v>24</v>
      </c>
      <c r="B38" s="28">
        <f>VLOOKUP($B$33&amp;"-"&amp;A38,Planilha2!A:D,4,FALSE)</f>
        <v>0.2</v>
      </c>
      <c r="C38" s="29">
        <f t="shared" ref="C38:C42" si="0">$B$34*B38</f>
        <v>120</v>
      </c>
    </row>
    <row r="39" spans="1:3" ht="15.75" x14ac:dyDescent="0.25">
      <c r="A39" s="26" t="s">
        <v>25</v>
      </c>
      <c r="B39" s="28">
        <f>VLOOKUP($B$33&amp;"-"&amp;A39,Planilha2!A:D,4,FALSE)</f>
        <v>0.15</v>
      </c>
      <c r="C39" s="29">
        <f t="shared" si="0"/>
        <v>90</v>
      </c>
    </row>
    <row r="40" spans="1:3" ht="15.75" x14ac:dyDescent="0.25">
      <c r="A40" s="26" t="s">
        <v>26</v>
      </c>
      <c r="B40" s="28">
        <f>VLOOKUP($B$33&amp;"-"&amp;A40,Planilha2!A:D,4,FALSE)</f>
        <v>0.1</v>
      </c>
      <c r="C40" s="29">
        <f t="shared" si="0"/>
        <v>60</v>
      </c>
    </row>
    <row r="41" spans="1:3" ht="15.75" x14ac:dyDescent="0.25">
      <c r="A41" s="26" t="s">
        <v>27</v>
      </c>
      <c r="B41" s="28">
        <f>VLOOKUP($B$33&amp;"-"&amp;A41,Planilha2!A:D,4,FALSE)</f>
        <v>0.25</v>
      </c>
      <c r="C41" s="29">
        <f t="shared" si="0"/>
        <v>150</v>
      </c>
    </row>
    <row r="42" spans="1:3" ht="15.75" x14ac:dyDescent="0.25">
      <c r="A42" s="26" t="s">
        <v>28</v>
      </c>
      <c r="B42" s="28">
        <f>VLOOKUP($B$33&amp;"-"&amp;A42,Planilha2!A:D,4,FALSE)</f>
        <v>0.15</v>
      </c>
      <c r="C42" s="29">
        <f t="shared" si="0"/>
        <v>90</v>
      </c>
    </row>
    <row r="43" spans="1:3" ht="15.75" x14ac:dyDescent="0.25">
      <c r="A43" s="30" t="s">
        <v>33</v>
      </c>
      <c r="B43" s="32"/>
      <c r="C43" s="31">
        <f>SUM(C37:C42)</f>
        <v>600</v>
      </c>
    </row>
  </sheetData>
  <mergeCells count="10">
    <mergeCell ref="A22:B22"/>
    <mergeCell ref="A12:C12"/>
    <mergeCell ref="A13:B13"/>
    <mergeCell ref="A14:B14"/>
    <mergeCell ref="A15:B15"/>
    <mergeCell ref="A17:B17"/>
    <mergeCell ref="A18:B18"/>
    <mergeCell ref="A19:B19"/>
    <mergeCell ref="A20:B20"/>
    <mergeCell ref="A21:B21"/>
  </mergeCells>
  <dataValidations count="1">
    <dataValidation type="list" allowBlank="1" showInputMessage="1" showErrorMessage="1" sqref="B33" xr:uid="{84582764-96CE-498A-940E-4EBF8D3F32D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F84B-94F4-4696-8892-1EA6A8B02BC9}">
  <dimension ref="A2:D20"/>
  <sheetViews>
    <sheetView topLeftCell="A7" zoomScale="170" zoomScaleNormal="170" workbookViewId="0">
      <selection activeCell="D21" sqref="D21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4" max="4" width="9.28515625" customWidth="1"/>
  </cols>
  <sheetData>
    <row r="2" spans="1:4" x14ac:dyDescent="0.25">
      <c r="A2" t="s">
        <v>29</v>
      </c>
      <c r="B2" t="s">
        <v>17</v>
      </c>
      <c r="C2" t="s">
        <v>20</v>
      </c>
      <c r="D2" t="s">
        <v>32</v>
      </c>
    </row>
    <row r="3" spans="1:4" x14ac:dyDescent="0.25">
      <c r="A3" t="str">
        <f>B3&amp;"-"&amp;C3</f>
        <v>Conservador-PAPEL</v>
      </c>
      <c r="B3" t="s">
        <v>18</v>
      </c>
      <c r="C3" t="s">
        <v>23</v>
      </c>
      <c r="D3" s="27">
        <v>0.45</v>
      </c>
    </row>
    <row r="4" spans="1:4" x14ac:dyDescent="0.25">
      <c r="A4" t="str">
        <f t="shared" ref="A4:A20" si="0">B4&amp;"-"&amp;C4</f>
        <v>Conservador-TIJOLO</v>
      </c>
      <c r="B4" t="s">
        <v>18</v>
      </c>
      <c r="C4" t="s">
        <v>24</v>
      </c>
      <c r="D4" s="27">
        <v>0.25</v>
      </c>
    </row>
    <row r="5" spans="1:4" x14ac:dyDescent="0.25">
      <c r="A5" t="str">
        <f t="shared" si="0"/>
        <v>Conservador-HIBRÍDOS</v>
      </c>
      <c r="B5" t="s">
        <v>18</v>
      </c>
      <c r="C5" t="s">
        <v>25</v>
      </c>
      <c r="D5" s="27">
        <v>0.15</v>
      </c>
    </row>
    <row r="6" spans="1:4" x14ac:dyDescent="0.25">
      <c r="A6" t="str">
        <f t="shared" si="0"/>
        <v>Conservador-FOFs</v>
      </c>
      <c r="B6" t="s">
        <v>18</v>
      </c>
      <c r="C6" t="s">
        <v>26</v>
      </c>
      <c r="D6" s="27">
        <v>0.1</v>
      </c>
    </row>
    <row r="7" spans="1:4" x14ac:dyDescent="0.25">
      <c r="A7" t="str">
        <f t="shared" si="0"/>
        <v>Conservador-DESENVOLVIMENTO</v>
      </c>
      <c r="B7" t="s">
        <v>18</v>
      </c>
      <c r="C7" t="s">
        <v>27</v>
      </c>
      <c r="D7" s="27">
        <v>0.03</v>
      </c>
    </row>
    <row r="8" spans="1:4" x14ac:dyDescent="0.25">
      <c r="A8" t="str">
        <f t="shared" si="0"/>
        <v>Conservador-HOTELARIAS</v>
      </c>
      <c r="B8" t="s">
        <v>18</v>
      </c>
      <c r="C8" t="s">
        <v>28</v>
      </c>
      <c r="D8" s="27">
        <v>0.02</v>
      </c>
    </row>
    <row r="9" spans="1:4" x14ac:dyDescent="0.25">
      <c r="A9" t="str">
        <f t="shared" si="0"/>
        <v>Moderado-PAPEL</v>
      </c>
      <c r="B9" t="s">
        <v>30</v>
      </c>
      <c r="C9" t="s">
        <v>23</v>
      </c>
      <c r="D9" s="27">
        <v>0.2</v>
      </c>
    </row>
    <row r="10" spans="1:4" x14ac:dyDescent="0.25">
      <c r="A10" t="str">
        <f t="shared" si="0"/>
        <v>Moderado-TIJOLO</v>
      </c>
      <c r="B10" t="s">
        <v>30</v>
      </c>
      <c r="C10" t="s">
        <v>24</v>
      </c>
      <c r="D10" s="27">
        <v>0.3</v>
      </c>
    </row>
    <row r="11" spans="1:4" x14ac:dyDescent="0.25">
      <c r="A11" t="str">
        <f t="shared" si="0"/>
        <v>Moderado-HIBRÍDOS</v>
      </c>
      <c r="B11" t="s">
        <v>30</v>
      </c>
      <c r="C11" t="s">
        <v>25</v>
      </c>
      <c r="D11" s="27">
        <v>0.25</v>
      </c>
    </row>
    <row r="12" spans="1:4" x14ac:dyDescent="0.25">
      <c r="A12" t="str">
        <f t="shared" si="0"/>
        <v>Moderado-FOFs</v>
      </c>
      <c r="B12" t="s">
        <v>30</v>
      </c>
      <c r="C12" t="s">
        <v>26</v>
      </c>
      <c r="D12" s="27">
        <v>0.1</v>
      </c>
    </row>
    <row r="13" spans="1:4" x14ac:dyDescent="0.25">
      <c r="A13" t="str">
        <f t="shared" si="0"/>
        <v>Moderado-DESENVOLVIMENTO</v>
      </c>
      <c r="B13" t="s">
        <v>30</v>
      </c>
      <c r="C13" t="s">
        <v>27</v>
      </c>
      <c r="D13" s="27">
        <v>0.1</v>
      </c>
    </row>
    <row r="14" spans="1:4" x14ac:dyDescent="0.25">
      <c r="A14" t="str">
        <f t="shared" si="0"/>
        <v>Moderado-HOTELARIAS</v>
      </c>
      <c r="B14" t="s">
        <v>30</v>
      </c>
      <c r="C14" t="s">
        <v>28</v>
      </c>
      <c r="D14" s="27">
        <v>0.05</v>
      </c>
    </row>
    <row r="15" spans="1:4" x14ac:dyDescent="0.25">
      <c r="A15" t="str">
        <f t="shared" si="0"/>
        <v>Agressivo-PAPEL</v>
      </c>
      <c r="B15" t="s">
        <v>31</v>
      </c>
      <c r="C15" t="s">
        <v>23</v>
      </c>
      <c r="D15" s="27">
        <v>0.15</v>
      </c>
    </row>
    <row r="16" spans="1:4" x14ac:dyDescent="0.25">
      <c r="A16" t="str">
        <f t="shared" si="0"/>
        <v>Agressivo-TIJOLO</v>
      </c>
      <c r="B16" t="s">
        <v>31</v>
      </c>
      <c r="C16" t="s">
        <v>24</v>
      </c>
      <c r="D16" s="27">
        <v>0.2</v>
      </c>
    </row>
    <row r="17" spans="1:4" x14ac:dyDescent="0.25">
      <c r="A17" t="str">
        <f t="shared" si="0"/>
        <v>Agressivo-HIBRÍDOS</v>
      </c>
      <c r="B17" t="s">
        <v>31</v>
      </c>
      <c r="C17" t="s">
        <v>25</v>
      </c>
      <c r="D17" s="27">
        <v>0.15</v>
      </c>
    </row>
    <row r="18" spans="1:4" x14ac:dyDescent="0.25">
      <c r="A18" t="str">
        <f t="shared" si="0"/>
        <v>Agressivo-FOFs</v>
      </c>
      <c r="B18" t="s">
        <v>31</v>
      </c>
      <c r="C18" t="s">
        <v>26</v>
      </c>
      <c r="D18" s="27">
        <v>0.1</v>
      </c>
    </row>
    <row r="19" spans="1:4" x14ac:dyDescent="0.25">
      <c r="A19" t="str">
        <f t="shared" si="0"/>
        <v>Agressivo-DESENVOLVIMENTO</v>
      </c>
      <c r="B19" t="s">
        <v>31</v>
      </c>
      <c r="C19" t="s">
        <v>27</v>
      </c>
      <c r="D19" s="27">
        <v>0.25</v>
      </c>
    </row>
    <row r="20" spans="1:4" x14ac:dyDescent="0.25">
      <c r="A20" t="str">
        <f t="shared" si="0"/>
        <v>Agressivo-HOTELARIAS</v>
      </c>
      <c r="B20" t="s">
        <v>31</v>
      </c>
      <c r="C20" t="s">
        <v>28</v>
      </c>
      <c r="D20" s="27">
        <v>0.15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Planilha1</vt:lpstr>
      <vt:lpstr>Planilha2</vt:lpstr>
      <vt:lpstr>aporte</vt:lpstr>
      <vt:lpstr>qtd_anos</vt:lpstr>
      <vt:lpstr>rendimento_carteira</vt:lpstr>
      <vt:lpstr>taxa_rendimento_mensal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Moura</dc:creator>
  <cp:lastModifiedBy>Carlos Moura</cp:lastModifiedBy>
  <dcterms:created xsi:type="dcterms:W3CDTF">2026-01-03T16:14:50Z</dcterms:created>
  <dcterms:modified xsi:type="dcterms:W3CDTF">2026-01-15T18:31:05Z</dcterms:modified>
</cp:coreProperties>
</file>